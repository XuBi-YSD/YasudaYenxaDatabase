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H:\My Drive\20260724-APP issue\20260725-clean file\DR-Final\"/>
    </mc:Choice>
  </mc:AlternateContent>
  <xr:revisionPtr revIDLastSave="0" documentId="13_ncr:1_{B4C8A65E-7E67-4EF8-B552-98C3E59FFCDA}" xr6:coauthVersionLast="47" xr6:coauthVersionMax="47" xr10:uidLastSave="{00000000-0000-0000-0000-000000000000}"/>
  <bookViews>
    <workbookView xWindow="-108" yWindow="-108" windowWidth="23256" windowHeight="12456" tabRatio="757" xr2:uid="{00000000-000D-0000-FFFF-FFFF00000000}"/>
  </bookViews>
  <sheets>
    <sheet name="Daily Plan for PJ" sheetId="337" r:id="rId1"/>
  </sheets>
  <externalReferences>
    <externalReference r:id="rId2"/>
  </externalReferences>
  <definedNames>
    <definedName name="_xlnm.Print_Area" localSheetId="0">'Daily Plan for PJ'!$A$2:$T$29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37" l="1"/>
  <c r="I14" i="337"/>
  <c r="E11" i="337"/>
  <c r="Q29" i="337" l="1"/>
</calcChain>
</file>

<file path=xl/sharedStrings.xml><?xml version="1.0" encoding="utf-8"?>
<sst xmlns="http://schemas.openxmlformats.org/spreadsheetml/2006/main" count="93" uniqueCount="83">
  <si>
    <t>S</t>
  </si>
  <si>
    <t>SL</t>
  </si>
  <si>
    <t>L</t>
  </si>
  <si>
    <t>B</t>
  </si>
  <si>
    <t>THỜI TIẾT/ WEATHER</t>
  </si>
  <si>
    <t>Thời tiết/ Weather</t>
  </si>
  <si>
    <t xml:space="preserve"> Nhiệt độ / Temperature</t>
  </si>
  <si>
    <r>
      <t xml:space="preserve">Lượng mưa / 
</t>
    </r>
    <r>
      <rPr>
        <i/>
        <sz val="18"/>
        <rFont val="Times New Roman"/>
        <family val="1"/>
      </rPr>
      <t>Rain fall</t>
    </r>
  </si>
  <si>
    <t>Cao độ mực nước  / 
Water level</t>
  </si>
  <si>
    <r>
      <t xml:space="preserve">Nhận xét /
</t>
    </r>
    <r>
      <rPr>
        <i/>
        <sz val="18"/>
        <rFont val="Times New Roman"/>
        <family val="1"/>
      </rPr>
      <t>Comment</t>
    </r>
  </si>
  <si>
    <r>
      <t xml:space="preserve">Buổi sáng /
</t>
    </r>
    <r>
      <rPr>
        <i/>
        <sz val="18"/>
        <rFont val="Times New Roman"/>
        <family val="1"/>
      </rPr>
      <t>Morning</t>
    </r>
  </si>
  <si>
    <r>
      <t xml:space="preserve">Buổi Chiều /
</t>
    </r>
    <r>
      <rPr>
        <i/>
        <sz val="18"/>
        <rFont val="Times New Roman"/>
        <family val="1"/>
      </rPr>
      <t>Afternoon</t>
    </r>
  </si>
  <si>
    <r>
      <t xml:space="preserve">Buổi tối /
</t>
    </r>
    <r>
      <rPr>
        <i/>
        <sz val="18"/>
        <rFont val="Times New Roman"/>
        <family val="1"/>
      </rPr>
      <t>Evening</t>
    </r>
  </si>
  <si>
    <t>No</t>
  </si>
  <si>
    <t>M</t>
  </si>
  <si>
    <t xml:space="preserve">Khối lượng/ Quantity </t>
  </si>
  <si>
    <r>
      <t xml:space="preserve">Ngày làm việc /
</t>
    </r>
    <r>
      <rPr>
        <b/>
        <i/>
        <sz val="22"/>
        <rFont val="Times New Roman"/>
        <family val="1"/>
      </rPr>
      <t xml:space="preserve">Working Date </t>
    </r>
    <r>
      <rPr>
        <b/>
        <sz val="22"/>
        <rFont val="Times New Roman"/>
        <family val="1"/>
      </rPr>
      <t xml:space="preserve"> </t>
    </r>
  </si>
  <si>
    <r>
      <t xml:space="preserve">Vị trí /
</t>
    </r>
    <r>
      <rPr>
        <b/>
        <i/>
        <sz val="22"/>
        <rFont val="Times New Roman"/>
        <family val="1"/>
      </rPr>
      <t>Location</t>
    </r>
  </si>
  <si>
    <r>
      <t xml:space="preserve">
STT/</t>
    </r>
    <r>
      <rPr>
        <b/>
        <i/>
        <sz val="20"/>
        <rFont val="Times New Roman"/>
        <family val="1"/>
      </rPr>
      <t>No.</t>
    </r>
  </si>
  <si>
    <r>
      <t xml:space="preserve"> Diễn giải /
</t>
    </r>
    <r>
      <rPr>
        <b/>
        <i/>
        <sz val="20"/>
        <rFont val="Times New Roman"/>
        <family val="1"/>
      </rPr>
      <t>Description</t>
    </r>
  </si>
  <si>
    <r>
      <t xml:space="preserve">Đơn vị/
</t>
    </r>
    <r>
      <rPr>
        <b/>
        <i/>
        <sz val="20"/>
        <rFont val="Times New Roman"/>
        <family val="1"/>
      </rPr>
      <t>Unit</t>
    </r>
  </si>
  <si>
    <r>
      <t xml:space="preserve">KLTK/
</t>
    </r>
    <r>
      <rPr>
        <b/>
        <i/>
        <sz val="20"/>
        <rFont val="Times New Roman"/>
        <family val="1"/>
      </rPr>
      <t>Design Quantity</t>
    </r>
  </si>
  <si>
    <r>
      <t xml:space="preserve">KLLK/
</t>
    </r>
    <r>
      <rPr>
        <b/>
        <i/>
        <sz val="20"/>
        <rFont val="Times New Roman"/>
        <family val="1"/>
      </rPr>
      <t>Accumulative Quantity</t>
    </r>
  </si>
  <si>
    <r>
      <t xml:space="preserve">Nhân lực/
</t>
    </r>
    <r>
      <rPr>
        <b/>
        <i/>
        <sz val="20"/>
        <rFont val="Times New Roman"/>
        <family val="1"/>
      </rPr>
      <t>Manpower</t>
    </r>
  </si>
  <si>
    <r>
      <t xml:space="preserve">Máy móc và thiêt bị /
</t>
    </r>
    <r>
      <rPr>
        <b/>
        <i/>
        <sz val="20"/>
        <rFont val="Times New Roman"/>
        <family val="1"/>
      </rPr>
      <t xml:space="preserve">Material &amp; Equipment </t>
    </r>
  </si>
  <si>
    <r>
      <t xml:space="preserve">Thời gian làm việc/
</t>
    </r>
    <r>
      <rPr>
        <b/>
        <i/>
        <sz val="20"/>
        <rFont val="Times New Roman"/>
        <family val="1"/>
      </rPr>
      <t>Working time</t>
    </r>
  </si>
  <si>
    <r>
      <t xml:space="preserve">Ghi chú/ </t>
    </r>
    <r>
      <rPr>
        <b/>
        <i/>
        <sz val="20"/>
        <rFont val="Times New Roman"/>
        <family val="1"/>
      </rPr>
      <t xml:space="preserve">Remark </t>
    </r>
  </si>
  <si>
    <r>
      <t xml:space="preserve">Kết thúc/
</t>
    </r>
    <r>
      <rPr>
        <b/>
        <i/>
        <sz val="20"/>
        <rFont val="Times New Roman"/>
        <family val="1"/>
      </rPr>
      <t>Finish</t>
    </r>
  </si>
  <si>
    <r>
      <t xml:space="preserve">Bắt đầu/
</t>
    </r>
    <r>
      <rPr>
        <b/>
        <i/>
        <sz val="20"/>
        <rFont val="Times New Roman"/>
        <family val="1"/>
      </rPr>
      <t>Start</t>
    </r>
  </si>
  <si>
    <r>
      <t xml:space="preserve">Số lượng/
</t>
    </r>
    <r>
      <rPr>
        <b/>
        <i/>
        <sz val="20"/>
        <rFont val="Times New Roman"/>
        <family val="1"/>
      </rPr>
      <t>Q'ty</t>
    </r>
  </si>
  <si>
    <r>
      <t xml:space="preserve">Loại/
</t>
    </r>
    <r>
      <rPr>
        <b/>
        <i/>
        <sz val="20"/>
        <rFont val="Times New Roman"/>
        <family val="1"/>
      </rPr>
      <t>Type</t>
    </r>
  </si>
  <si>
    <r>
      <t xml:space="preserve">NGHIỆM THU &amp; THÍ NGHIỆM/
</t>
    </r>
    <r>
      <rPr>
        <b/>
        <i/>
        <sz val="20"/>
        <rFont val="Times New Roman"/>
        <family val="1"/>
      </rPr>
      <t>INSPECTION &amp; TEST</t>
    </r>
  </si>
  <si>
    <r>
      <t xml:space="preserve">CÔNG VIỆC NGÀY HÔM SAU/ </t>
    </r>
    <r>
      <rPr>
        <b/>
        <i/>
        <sz val="20"/>
        <rFont val="Times New Roman"/>
        <family val="1"/>
      </rPr>
      <t>NEXT DAY WORK</t>
    </r>
  </si>
  <si>
    <r>
      <t xml:space="preserve">C: Chủ đầu tư/ </t>
    </r>
    <r>
      <rPr>
        <i/>
        <sz val="20"/>
        <rFont val="Times New Roman"/>
        <family val="1"/>
      </rPr>
      <t>The Client</t>
    </r>
  </si>
  <si>
    <r>
      <t xml:space="preserve">CO: Nhà thầu/ </t>
    </r>
    <r>
      <rPr>
        <i/>
        <sz val="20"/>
        <rFont val="Times New Roman"/>
        <family val="1"/>
      </rPr>
      <t>The Contractor</t>
    </r>
  </si>
  <si>
    <r>
      <t xml:space="preserve">M: Quản lý / </t>
    </r>
    <r>
      <rPr>
        <i/>
        <sz val="20"/>
        <rFont val="Times New Roman"/>
        <family val="1"/>
      </rPr>
      <t>Manager</t>
    </r>
  </si>
  <si>
    <r>
      <t xml:space="preserve">S: Kỹ sư hiện trường / </t>
    </r>
    <r>
      <rPr>
        <i/>
        <sz val="20"/>
        <rFont val="Times New Roman"/>
        <family val="1"/>
      </rPr>
      <t>Site Engineer</t>
    </r>
  </si>
  <si>
    <r>
      <t xml:space="preserve">F: Đốc công, tổ trưởng / </t>
    </r>
    <r>
      <rPr>
        <i/>
        <sz val="20"/>
        <rFont val="Times New Roman"/>
        <family val="1"/>
      </rPr>
      <t>Foreman, Team leader</t>
    </r>
  </si>
  <si>
    <r>
      <t>L: Công nhân, lái máy và nhân lực khác/</t>
    </r>
    <r>
      <rPr>
        <i/>
        <sz val="20"/>
        <rFont val="Times New Roman"/>
        <family val="1"/>
      </rPr>
      <t xml:space="preserve"> Labor, Machine Driver, Other </t>
    </r>
  </si>
  <si>
    <r>
      <t xml:space="preserve">SL: Công nhân có tay nghề/ </t>
    </r>
    <r>
      <rPr>
        <i/>
        <sz val="20"/>
        <rFont val="Times New Roman"/>
        <family val="1"/>
      </rPr>
      <t>Skilled labor</t>
    </r>
  </si>
  <si>
    <t>Crawler crane / Cần trục bánh xích 45T</t>
  </si>
  <si>
    <t>Ô tô tải (có cần cẩu) / Truck (Have crane) 15T</t>
  </si>
  <si>
    <t>Tire crane / Cần trục bánh lốp 35T</t>
  </si>
  <si>
    <t>Electric generator / Máy phát điện</t>
  </si>
  <si>
    <t>Excavator/ Máy đào</t>
  </si>
  <si>
    <t>Tamping Rammer/ Máy đầm cóc</t>
  </si>
  <si>
    <t>Welding machine/ Máy hàn</t>
  </si>
  <si>
    <t>Truck 2T/ Xeô tô 2 tấn</t>
  </si>
  <si>
    <t>Survey Equipment/ Thiết bị khảo sát</t>
  </si>
  <si>
    <t>I</t>
  </si>
  <si>
    <t>Skill labor/ Lao động lành nghề</t>
  </si>
  <si>
    <t>Common labor/ Lao động phổ thông</t>
  </si>
  <si>
    <t>Portal crane 8 ton/ Cẩu cổng 8 tấn</t>
  </si>
  <si>
    <t>Máy hàn/ Welding machine</t>
  </si>
  <si>
    <t>Xe nâng/ Forklift</t>
  </si>
  <si>
    <t>Máy khoan kích ngầm/ Pipe Jacking Machine</t>
  </si>
  <si>
    <t>Plan</t>
  </si>
  <si>
    <r>
      <t xml:space="preserve">KLTH/ 
</t>
    </r>
    <r>
      <rPr>
        <b/>
        <i/>
        <sz val="20"/>
        <rFont val="Times New Roman"/>
        <family val="1"/>
      </rPr>
      <t>Quantity on this day</t>
    </r>
  </si>
  <si>
    <t>Actual</t>
  </si>
  <si>
    <t>YASUDA ENGINEERING 
Co., Ltd</t>
  </si>
  <si>
    <r>
      <t xml:space="preserve">Kế hoạch Ngày/ </t>
    </r>
    <r>
      <rPr>
        <b/>
        <i/>
        <sz val="36"/>
        <rFont val="Times New Roman"/>
        <family val="1"/>
      </rPr>
      <t>Daily Plan</t>
    </r>
  </si>
  <si>
    <t>Máy nén khí/ Air compressor</t>
  </si>
  <si>
    <t>OP</t>
  </si>
  <si>
    <r>
      <t xml:space="preserve"> SỰ CỐ HOẶC THÔNG BÁO KHÁC
</t>
    </r>
    <r>
      <rPr>
        <b/>
        <i/>
        <sz val="20"/>
        <rFont val="Times New Roman"/>
        <family val="1"/>
      </rPr>
      <t xml:space="preserve">INCIDENT OR OTHER NOTICE </t>
    </r>
  </si>
  <si>
    <t xml:space="preserve">Máy phát điện/ Electric generator </t>
  </si>
  <si>
    <t xml:space="preserve">Shaft 30.0-30.3; </t>
  </si>
  <si>
    <r>
      <t xml:space="preserve">Dự án hệ thống thoát nước Yên Xá Thành phố Hà Nội
Gói 4: Xây dựng hệ thống cống cho một phần khu vực Hà Đông và Khu đô thị mới /
</t>
    </r>
    <r>
      <rPr>
        <b/>
        <i/>
        <sz val="22"/>
        <rFont val="Times New Roman"/>
        <family val="1"/>
      </rPr>
      <t>Hanoi City Yen Xa Sewerage System Project 
Package 4: Construction of Sewer Pipes in Ha Dong and New Urban Area</t>
    </r>
  </si>
  <si>
    <t>Telpher crane/ 
Cẩu giàn</t>
  </si>
  <si>
    <t>OF: Văn phòng/ Office</t>
  </si>
  <si>
    <t>OF</t>
  </si>
  <si>
    <t>CHÚ THÍCH / REMARK</t>
  </si>
  <si>
    <t>Normal</t>
  </si>
  <si>
    <t>Sunny</t>
  </si>
  <si>
    <t>Shafts 42.15-42.18 (D800)/ 
Giếng kích 42.15-42.18 (D800)</t>
  </si>
  <si>
    <t>LS</t>
  </si>
  <si>
    <t>Shaft 42.15-42.18</t>
  </si>
  <si>
    <t>Pipe</t>
  </si>
  <si>
    <t>Normal Pipe Jacking Works/ 
Thi công Khoan kích</t>
  </si>
  <si>
    <t>Received handover of Pipe from the Contractor/ 
Nhận bàn giao cống từ nhà thầu chính</t>
  </si>
  <si>
    <t>Transportation and disposal sludge / 
Vận chuyển và thanh thải đất bùn thải.</t>
  </si>
  <si>
    <t>Dump truck/ Xe tải</t>
  </si>
  <si>
    <t>Excavator/ Máy xúc</t>
  </si>
  <si>
    <t>Inspection for construction of  pipe jacking work (Segment No.79 to No.83)/ Giám sát thi công khoan kích ống ngầm (Đốt cống số 79 đến 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</si>
</sst>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&quot; mm&quot;"/>
    <numFmt numFmtId="166" formatCode="0&quot; độ C&quot;"/>
    <numFmt numFmtId="167" formatCode="0.000"/>
    <numFmt numFmtId="168" formatCode="[$-409]d\-mmm;@"/>
    <numFmt numFmtId="169" formatCode="[$-409]dd\-mmm\-yy;@"/>
    <numFmt numFmtId="170" formatCode="0&quot; (VN)&quot;"/>
    <numFmt numFmtId="171" formatCode="0&quot; (JP)&quot;"/>
  </numFmts>
  <fonts count="31">
    <font>
      <sz val="11"/>
      <color indexed="8"/>
      <name val="Calibri"/>
      <family val="2"/>
    </font>
    <font>
      <b/>
      <sz val="22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sz val="20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b/>
      <i/>
      <sz val="2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i/>
      <sz val="18"/>
      <name val="Times New Roman"/>
      <family val="1"/>
    </font>
    <font>
      <sz val="10"/>
      <name val="Arial"/>
      <family val="2"/>
    </font>
    <font>
      <sz val="18"/>
      <color indexed="18"/>
      <name val="Times New Roman"/>
      <family val="1"/>
    </font>
    <font>
      <b/>
      <sz val="24"/>
      <color indexed="10"/>
      <name val="Times New Roman"/>
      <family val="1"/>
    </font>
    <font>
      <b/>
      <sz val="36"/>
      <name val="Times New Roman"/>
      <family val="1"/>
    </font>
    <font>
      <b/>
      <i/>
      <sz val="22"/>
      <name val="Times New Roman"/>
      <family val="1"/>
    </font>
    <font>
      <b/>
      <i/>
      <sz val="36"/>
      <name val="Times New Roman"/>
      <family val="1"/>
    </font>
    <font>
      <i/>
      <sz val="20"/>
      <name val="Times New Roman"/>
      <family val="1"/>
    </font>
    <font>
      <b/>
      <sz val="20"/>
      <color rgb="FFFF0000"/>
      <name val="Times New Roman"/>
      <family val="1"/>
    </font>
    <font>
      <sz val="14"/>
      <name val="Times New Roman"/>
      <family val="1"/>
    </font>
    <font>
      <sz val="20"/>
      <color theme="0"/>
      <name val="Calibri"/>
      <family val="2"/>
    </font>
    <font>
      <sz val="13"/>
      <color theme="1"/>
      <name val="Times New Roman"/>
      <family val="2"/>
    </font>
    <font>
      <sz val="14"/>
      <color indexed="8"/>
      <name val="Calibri"/>
      <family val="2"/>
    </font>
    <font>
      <sz val="24"/>
      <color rgb="FFFF0000"/>
      <name val="Times New Roman"/>
      <family val="1"/>
    </font>
    <font>
      <sz val="11"/>
      <name val="Calibri"/>
      <family val="2"/>
    </font>
    <font>
      <sz val="20"/>
      <color theme="1"/>
      <name val="Times New Roman"/>
      <family val="1"/>
    </font>
    <font>
      <sz val="20"/>
      <color rgb="FFFF0000"/>
      <name val="Times New Roman"/>
      <family val="1"/>
    </font>
    <font>
      <sz val="6"/>
      <name val="ＭＳ Ｐゴシック"/>
      <family val="3"/>
      <charset val="128"/>
    </font>
    <font>
      <b/>
      <sz val="20"/>
      <color theme="1"/>
      <name val="Times New Roman"/>
      <family val="1"/>
    </font>
    <font>
      <sz val="18"/>
      <color rgb="FF00008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rgb="FF000000"/>
      </top>
      <bottom style="hair">
        <color indexed="64"/>
      </bottom>
      <diagonal/>
    </border>
    <border>
      <left/>
      <right/>
      <top style="hair">
        <color rgb="FF000000"/>
      </top>
      <bottom style="hair">
        <color indexed="64"/>
      </bottom>
      <diagonal/>
    </border>
    <border>
      <left/>
      <right style="medium">
        <color indexed="64"/>
      </right>
      <top style="hair">
        <color rgb="FF000000"/>
      </top>
      <bottom style="hair">
        <color indexed="64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medium">
        <color indexed="64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0" fontId="12" fillId="0" borderId="0"/>
    <xf numFmtId="0" fontId="22" fillId="0" borderId="0"/>
    <xf numFmtId="43" fontId="10" fillId="0" borderId="0" applyFont="0" applyFill="0" applyBorder="0" applyAlignment="0" applyProtection="0"/>
  </cellStyleXfs>
  <cellXfs count="212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5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5" borderId="7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1" fillId="0" borderId="0" xfId="0" applyFont="1"/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8" fontId="4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7" borderId="0" xfId="0" applyFont="1" applyFill="1"/>
    <xf numFmtId="0" fontId="20" fillId="7" borderId="0" xfId="0" applyFont="1" applyFill="1" applyAlignment="1">
      <alignment horizontal="center" vertical="center"/>
    </xf>
    <xf numFmtId="0" fontId="4" fillId="7" borderId="0" xfId="0" applyFont="1" applyFill="1"/>
    <xf numFmtId="0" fontId="5" fillId="7" borderId="0" xfId="0" applyFont="1" applyFill="1" applyAlignment="1">
      <alignment horizontal="left" vertical="center"/>
    </xf>
    <xf numFmtId="0" fontId="5" fillId="7" borderId="0" xfId="0" applyFont="1" applyFill="1"/>
    <xf numFmtId="167" fontId="5" fillId="7" borderId="0" xfId="0" applyNumberFormat="1" applyFont="1" applyFill="1"/>
    <xf numFmtId="0" fontId="9" fillId="7" borderId="0" xfId="0" applyFont="1" applyFill="1"/>
    <xf numFmtId="0" fontId="3" fillId="7" borderId="0" xfId="0" applyFont="1" applyFill="1"/>
    <xf numFmtId="168" fontId="23" fillId="0" borderId="0" xfId="0" applyNumberFormat="1" applyFont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/>
    </xf>
    <xf numFmtId="0" fontId="4" fillId="5" borderId="7" xfId="0" quotePrefix="1" applyFont="1" applyFill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6" fillId="5" borderId="52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9" borderId="11" xfId="0" quotePrefix="1" applyFont="1" applyFill="1" applyBorder="1" applyAlignment="1">
      <alignment horizontal="left" vertical="center"/>
    </xf>
    <xf numFmtId="0" fontId="2" fillId="9" borderId="0" xfId="0" applyFont="1" applyFill="1"/>
    <xf numFmtId="0" fontId="4" fillId="9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24" fillId="8" borderId="37" xfId="0" applyFont="1" applyFill="1" applyBorder="1" applyAlignment="1">
      <alignment horizontal="center" vertical="center" wrapText="1"/>
    </xf>
    <xf numFmtId="0" fontId="25" fillId="0" borderId="33" xfId="0" applyFont="1" applyBorder="1"/>
    <xf numFmtId="0" fontId="25" fillId="0" borderId="38" xfId="0" applyFont="1" applyBorder="1"/>
    <xf numFmtId="0" fontId="25" fillId="0" borderId="22" xfId="0" applyFont="1" applyBorder="1"/>
    <xf numFmtId="0" fontId="0" fillId="0" borderId="0" xfId="0"/>
    <xf numFmtId="0" fontId="25" fillId="0" borderId="40" xfId="0" applyFont="1" applyBorder="1"/>
    <xf numFmtId="0" fontId="25" fillId="0" borderId="23" xfId="0" applyFont="1" applyBorder="1"/>
    <xf numFmtId="0" fontId="25" fillId="0" borderId="24" xfId="0" applyFont="1" applyBorder="1"/>
    <xf numFmtId="0" fontId="25" fillId="0" borderId="42" xfId="0" applyFont="1" applyBorder="1"/>
    <xf numFmtId="0" fontId="15" fillId="4" borderId="39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169" fontId="14" fillId="4" borderId="34" xfId="0" quotePrefix="1" applyNumberFormat="1" applyFont="1" applyFill="1" applyBorder="1" applyAlignment="1">
      <alignment horizontal="center" vertical="center" wrapText="1"/>
    </xf>
    <xf numFmtId="169" fontId="14" fillId="4" borderId="35" xfId="0" applyNumberFormat="1" applyFont="1" applyFill="1" applyBorder="1" applyAlignment="1">
      <alignment horizontal="center" vertical="center" wrapText="1"/>
    </xf>
    <xf numFmtId="169" fontId="14" fillId="4" borderId="11" xfId="0" applyNumberFormat="1" applyFont="1" applyFill="1" applyBorder="1" applyAlignment="1">
      <alignment horizontal="center" vertical="center" wrapText="1"/>
    </xf>
    <xf numFmtId="169" fontId="14" fillId="4" borderId="7" xfId="0" applyNumberFormat="1" applyFont="1" applyFill="1" applyBorder="1" applyAlignment="1">
      <alignment horizontal="center" vertical="center" wrapText="1"/>
    </xf>
    <xf numFmtId="169" fontId="14" fillId="4" borderId="12" xfId="0" applyNumberFormat="1" applyFont="1" applyFill="1" applyBorder="1" applyAlignment="1">
      <alignment horizontal="center" vertical="center" wrapText="1"/>
    </xf>
    <xf numFmtId="169" fontId="14" fillId="4" borderId="21" xfId="0" applyNumberFormat="1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6" fillId="3" borderId="51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4" fillId="5" borderId="1" xfId="0" quotePrefix="1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5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4" fillId="5" borderId="11" xfId="0" quotePrefix="1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0" fontId="6" fillId="5" borderId="55" xfId="0" applyFont="1" applyFill="1" applyBorder="1" applyAlignment="1">
      <alignment horizontal="center"/>
    </xf>
    <xf numFmtId="0" fontId="6" fillId="5" borderId="56" xfId="0" applyFont="1" applyFill="1" applyBorder="1" applyAlignment="1">
      <alignment horizontal="center"/>
    </xf>
    <xf numFmtId="0" fontId="4" fillId="5" borderId="57" xfId="0" quotePrefix="1" applyFont="1" applyFill="1" applyBorder="1" applyAlignment="1">
      <alignment horizontal="left" vertical="center"/>
    </xf>
    <xf numFmtId="0" fontId="4" fillId="5" borderId="56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5" borderId="11" xfId="0" quotePrefix="1" applyFont="1" applyFill="1" applyBorder="1" applyAlignment="1">
      <alignment horizontal="left" vertical="center" wrapText="1"/>
    </xf>
    <xf numFmtId="0" fontId="4" fillId="5" borderId="0" xfId="0" quotePrefix="1" applyFont="1" applyFill="1" applyAlignment="1">
      <alignment horizontal="left" vertical="center" wrapText="1"/>
    </xf>
    <xf numFmtId="0" fontId="6" fillId="0" borderId="9" xfId="0" quotePrefix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171" fontId="26" fillId="0" borderId="26" xfId="0" applyNumberFormat="1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 vertical="center" wrapText="1"/>
    </xf>
    <xf numFmtId="0" fontId="26" fillId="0" borderId="25" xfId="0" applyFont="1" applyFill="1" applyBorder="1" applyAlignment="1">
      <alignment horizontal="left" vertical="center" wrapText="1"/>
    </xf>
    <xf numFmtId="1" fontId="4" fillId="0" borderId="27" xfId="1" applyNumberFormat="1" applyFont="1" applyFill="1" applyBorder="1" applyAlignment="1">
      <alignment horizontal="center" vertical="center" wrapText="1"/>
    </xf>
    <xf numFmtId="20" fontId="4" fillId="0" borderId="9" xfId="0" quotePrefix="1" applyNumberFormat="1" applyFont="1" applyFill="1" applyBorder="1" applyAlignment="1">
      <alignment horizontal="center" vertical="center" wrapText="1"/>
    </xf>
    <xf numFmtId="0" fontId="27" fillId="0" borderId="68" xfId="0" applyFont="1" applyFill="1" applyBorder="1" applyAlignment="1">
      <alignment horizontal="left" vertical="center" indent="2"/>
    </xf>
    <xf numFmtId="0" fontId="27" fillId="0" borderId="69" xfId="0" applyFont="1" applyFill="1" applyBorder="1" applyAlignment="1">
      <alignment vertical="center"/>
    </xf>
    <xf numFmtId="0" fontId="27" fillId="0" borderId="70" xfId="0" applyFont="1" applyFill="1" applyBorder="1" applyAlignment="1">
      <alignment vertical="center"/>
    </xf>
    <xf numFmtId="0" fontId="4" fillId="0" borderId="9" xfId="0" quotePrefix="1" applyFont="1" applyFill="1" applyBorder="1" applyAlignment="1">
      <alignment horizontal="left" vertical="center" wrapText="1"/>
    </xf>
    <xf numFmtId="0" fontId="26" fillId="0" borderId="2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1" fontId="4" fillId="0" borderId="27" xfId="0" applyNumberFormat="1" applyFont="1" applyFill="1" applyBorder="1" applyAlignment="1">
      <alignment horizontal="center" vertical="center"/>
    </xf>
    <xf numFmtId="0" fontId="27" fillId="0" borderId="27" xfId="0" applyFont="1" applyFill="1" applyBorder="1" applyAlignment="1">
      <alignment horizontal="center" vertical="center"/>
    </xf>
    <xf numFmtId="170" fontId="26" fillId="0" borderId="26" xfId="0" applyNumberFormat="1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 vertical="center"/>
    </xf>
    <xf numFmtId="0" fontId="26" fillId="0" borderId="26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indent="2"/>
    </xf>
    <xf numFmtId="0" fontId="27" fillId="0" borderId="71" xfId="0" applyFont="1" applyFill="1" applyBorder="1" applyAlignment="1">
      <alignment vertical="center" wrapText="1"/>
    </xf>
    <xf numFmtId="0" fontId="27" fillId="0" borderId="72" xfId="0" applyFont="1" applyFill="1" applyBorder="1" applyAlignment="1">
      <alignment vertical="center" wrapText="1"/>
    </xf>
    <xf numFmtId="2" fontId="4" fillId="0" borderId="27" xfId="0" applyNumberFormat="1" applyFont="1" applyFill="1" applyBorder="1" applyAlignment="1">
      <alignment horizontal="center" vertical="center"/>
    </xf>
    <xf numFmtId="0" fontId="27" fillId="0" borderId="9" xfId="0" quotePrefix="1" applyFont="1" applyFill="1" applyBorder="1" applyAlignment="1">
      <alignment horizontal="left" vertical="center" wrapText="1"/>
    </xf>
    <xf numFmtId="164" fontId="4" fillId="0" borderId="27" xfId="0" applyNumberFormat="1" applyFont="1" applyFill="1" applyBorder="1" applyAlignment="1">
      <alignment horizontal="center" vertical="center"/>
    </xf>
    <xf numFmtId="0" fontId="26" fillId="0" borderId="31" xfId="0" applyFont="1" applyFill="1" applyBorder="1" applyAlignment="1">
      <alignment horizontal="left" vertical="center" wrapText="1"/>
    </xf>
    <xf numFmtId="1" fontId="27" fillId="0" borderId="28" xfId="1" applyNumberFormat="1" applyFont="1" applyFill="1" applyBorder="1" applyAlignment="1">
      <alignment horizontal="center" vertical="center" wrapText="1"/>
    </xf>
    <xf numFmtId="0" fontId="27" fillId="0" borderId="30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/>
    </xf>
    <xf numFmtId="1" fontId="26" fillId="0" borderId="30" xfId="0" applyNumberFormat="1" applyFont="1" applyFill="1" applyBorder="1" applyAlignment="1">
      <alignment horizontal="center" vertical="center"/>
    </xf>
    <xf numFmtId="0" fontId="26" fillId="0" borderId="74" xfId="0" applyFont="1" applyFill="1" applyBorder="1" applyAlignment="1">
      <alignment horizontal="left" vertical="center" wrapText="1"/>
    </xf>
    <xf numFmtId="0" fontId="27" fillId="0" borderId="75" xfId="0" applyFont="1" applyFill="1" applyBorder="1" applyAlignment="1">
      <alignment vertical="center"/>
    </xf>
    <xf numFmtId="0" fontId="27" fillId="0" borderId="76" xfId="0" applyFont="1" applyFill="1" applyBorder="1" applyAlignment="1">
      <alignment vertical="center"/>
    </xf>
    <xf numFmtId="0" fontId="27" fillId="0" borderId="64" xfId="0" applyFont="1" applyFill="1" applyBorder="1" applyAlignment="1">
      <alignment vertical="center"/>
    </xf>
    <xf numFmtId="0" fontId="27" fillId="0" borderId="65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26" fillId="0" borderId="73" xfId="0" applyFont="1" applyFill="1" applyBorder="1" applyAlignment="1">
      <alignment horizontal="left" vertical="center" wrapText="1"/>
    </xf>
    <xf numFmtId="0" fontId="27" fillId="0" borderId="66" xfId="0" applyFont="1" applyFill="1" applyBorder="1" applyAlignment="1">
      <alignment vertical="center"/>
    </xf>
    <xf numFmtId="0" fontId="26" fillId="0" borderId="4" xfId="0" quotePrefix="1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18" fontId="4" fillId="0" borderId="9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right" vertical="center"/>
    </xf>
    <xf numFmtId="0" fontId="4" fillId="0" borderId="8" xfId="0" quotePrefix="1" applyFont="1" applyFill="1" applyBorder="1" applyAlignment="1">
      <alignment vertical="center" wrapText="1"/>
    </xf>
    <xf numFmtId="0" fontId="4" fillId="0" borderId="44" xfId="0" quotePrefix="1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right" vertical="center"/>
    </xf>
    <xf numFmtId="0" fontId="4" fillId="0" borderId="0" xfId="0" quotePrefix="1" applyFont="1" applyFill="1" applyAlignment="1">
      <alignment vertical="center" wrapText="1"/>
    </xf>
    <xf numFmtId="0" fontId="4" fillId="0" borderId="40" xfId="0" quotePrefix="1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right" vertical="center"/>
    </xf>
    <xf numFmtId="0" fontId="4" fillId="0" borderId="10" xfId="0" quotePrefix="1" applyFont="1" applyFill="1" applyBorder="1" applyAlignment="1">
      <alignment vertical="center" wrapText="1"/>
    </xf>
    <xf numFmtId="0" fontId="4" fillId="0" borderId="47" xfId="0" quotePrefix="1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0" fontId="5" fillId="0" borderId="54" xfId="0" applyFont="1" applyFill="1" applyBorder="1" applyAlignment="1">
      <alignment horizontal="center" vertical="center" wrapText="1"/>
    </xf>
    <xf numFmtId="166" fontId="13" fillId="0" borderId="59" xfId="0" applyNumberFormat="1" applyFont="1" applyFill="1" applyBorder="1" applyAlignment="1">
      <alignment horizontal="center" vertical="center" wrapText="1"/>
    </xf>
    <xf numFmtId="166" fontId="30" fillId="0" borderId="59" xfId="0" applyNumberFormat="1" applyFont="1" applyFill="1" applyBorder="1" applyAlignment="1">
      <alignment horizontal="center" vertical="center" wrapText="1"/>
    </xf>
    <xf numFmtId="166" fontId="13" fillId="0" borderId="60" xfId="0" applyNumberFormat="1" applyFont="1" applyFill="1" applyBorder="1" applyAlignment="1">
      <alignment horizontal="center" vertical="center" wrapText="1"/>
    </xf>
    <xf numFmtId="166" fontId="13" fillId="0" borderId="61" xfId="0" applyNumberFormat="1" applyFont="1" applyFill="1" applyBorder="1" applyAlignment="1">
      <alignment horizontal="center" vertical="center" wrapText="1"/>
    </xf>
    <xf numFmtId="166" fontId="13" fillId="0" borderId="61" xfId="0" applyNumberFormat="1" applyFont="1" applyFill="1" applyBorder="1" applyAlignment="1">
      <alignment horizontal="center" vertical="center"/>
    </xf>
    <xf numFmtId="165" fontId="5" fillId="0" borderId="61" xfId="0" applyNumberFormat="1" applyFont="1" applyFill="1" applyBorder="1" applyAlignment="1">
      <alignment horizontal="center" vertical="center" wrapText="1"/>
    </xf>
    <xf numFmtId="2" fontId="5" fillId="0" borderId="61" xfId="0" applyNumberFormat="1" applyFont="1" applyFill="1" applyBorder="1" applyAlignment="1">
      <alignment horizontal="center" vertical="center" wrapText="1"/>
    </xf>
    <xf numFmtId="0" fontId="5" fillId="0" borderId="6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2" xr:uid="{00000000-0005-0000-0000-000003000000}"/>
    <cellStyle name="Normal 4" xfId="3" xr:uid="{00000000-0005-0000-0000-000004000000}"/>
  </cellStyles>
  <dxfs count="4">
    <dxf>
      <fill>
        <patternFill>
          <bgColor rgb="FF00B0F0"/>
        </patternFill>
      </fill>
    </dxf>
    <dxf>
      <font>
        <b val="0"/>
        <i val="0"/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ont>
        <color rgb="FFFF0000"/>
      </font>
      <fill>
        <patternFill>
          <bgColor rgb="FFEFF4FB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FCCFF"/>
      <color rgb="FFFFCCCC"/>
      <color rgb="FFF7F7FB"/>
      <color rgb="FFFEF9F4"/>
      <color rgb="FFFADCF6"/>
      <color rgb="FFF9DDE2"/>
      <color rgb="FFF0F1E5"/>
      <color rgb="FFEF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aitrongduy/C:/00.%20Th&#7849;m/01.%20Package%202/03.%20Report/20230221/230220_YX2_Daily%20report%20_%20YASUDA.xlsx" TargetMode="External"/><Relationship Id="rId1" Type="http://schemas.openxmlformats.org/officeDocument/2006/relationships/externalLinkPath" Target="/Users/maitrongduy/C:/00.%20Th&#7849;m/01.%20Package%202/03.%20Report/20230221/230220_YX2_Daily%20report%20_%20YAS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ily report for PJ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55"/>
  <sheetViews>
    <sheetView tabSelected="1" view="pageBreakPreview" zoomScale="40" zoomScaleNormal="40" zoomScaleSheetLayoutView="40" workbookViewId="0">
      <pane ySplit="1" topLeftCell="A18" activePane="bottomLeft" state="frozen"/>
      <selection pane="bottomLeft" activeCell="J36" sqref="J36"/>
    </sheetView>
  </sheetViews>
  <sheetFormatPr defaultColWidth="9.109375" defaultRowHeight="13.2"/>
  <cols>
    <col min="1" max="1" width="9.33203125" style="4" customWidth="1"/>
    <col min="2" max="2" width="90.44140625" style="4" customWidth="1"/>
    <col min="3" max="3" width="16.6640625" style="4" customWidth="1"/>
    <col min="4" max="4" width="25.6640625" style="4" customWidth="1"/>
    <col min="5" max="6" width="18" style="4" customWidth="1"/>
    <col min="7" max="7" width="23.44140625" style="4" customWidth="1"/>
    <col min="8" max="10" width="15.44140625" style="4" customWidth="1"/>
    <col min="11" max="11" width="33.44140625" style="4" customWidth="1"/>
    <col min="12" max="13" width="17.77734375" style="4" customWidth="1"/>
    <col min="14" max="15" width="21.6640625" style="4" customWidth="1"/>
    <col min="16" max="16" width="23.6640625" style="4" customWidth="1"/>
    <col min="17" max="20" width="21.6640625" style="4" customWidth="1"/>
    <col min="21" max="21" width="3.109375" style="4" customWidth="1"/>
    <col min="22" max="22" width="9.109375" style="13" customWidth="1"/>
    <col min="23" max="23" width="19.6640625" style="13" customWidth="1"/>
    <col min="24" max="24" width="33.44140625" style="13" bestFit="1" customWidth="1"/>
    <col min="25" max="30" width="19.6640625" style="13" customWidth="1"/>
    <col min="31" max="54" width="10.44140625" style="13" customWidth="1"/>
    <col min="55" max="57" width="11.33203125" style="13" bestFit="1" customWidth="1"/>
    <col min="58" max="58" width="11" style="13" bestFit="1" customWidth="1"/>
    <col min="59" max="59" width="11.33203125" style="13" bestFit="1" customWidth="1"/>
    <col min="60" max="60" width="11" style="13" bestFit="1" customWidth="1"/>
    <col min="61" max="62" width="11.33203125" style="13" bestFit="1" customWidth="1"/>
    <col min="63" max="63" width="11.6640625" style="13" bestFit="1" customWidth="1"/>
    <col min="64" max="64" width="11.33203125" style="13" bestFit="1" customWidth="1"/>
    <col min="65" max="67" width="11.6640625" style="13" bestFit="1" customWidth="1"/>
    <col min="68" max="68" width="11.44140625" style="13" bestFit="1" customWidth="1"/>
    <col min="69" max="69" width="11.6640625" style="13" bestFit="1" customWidth="1"/>
    <col min="70" max="70" width="11.44140625" style="13" bestFit="1" customWidth="1"/>
    <col min="71" max="73" width="11.6640625" style="13" bestFit="1" customWidth="1"/>
    <col min="74" max="74" width="9.33203125" style="13" bestFit="1" customWidth="1"/>
    <col min="75" max="77" width="9.6640625" style="13" bestFit="1" customWidth="1"/>
    <col min="78" max="78" width="9.44140625" style="13" bestFit="1" customWidth="1"/>
    <col min="79" max="79" width="9.6640625" style="13" bestFit="1" customWidth="1"/>
    <col min="80" max="80" width="9.44140625" style="13" bestFit="1" customWidth="1"/>
    <col min="81" max="82" width="9.6640625" style="13" bestFit="1" customWidth="1"/>
    <col min="83" max="83" width="10.6640625" style="13" bestFit="1" customWidth="1"/>
    <col min="84" max="84" width="10.109375" style="13" bestFit="1" customWidth="1"/>
    <col min="85" max="87" width="10.6640625" style="13" bestFit="1" customWidth="1"/>
    <col min="88" max="88" width="10.44140625" style="13" bestFit="1" customWidth="1"/>
    <col min="89" max="89" width="10.6640625" style="13" bestFit="1" customWidth="1"/>
    <col min="90" max="90" width="10.44140625" style="13" bestFit="1" customWidth="1"/>
    <col min="91" max="92" width="10.6640625" style="13" bestFit="1" customWidth="1"/>
    <col min="93" max="93" width="11.33203125" style="13" bestFit="1" customWidth="1"/>
    <col min="94" max="94" width="10.6640625" style="13" bestFit="1" customWidth="1"/>
    <col min="95" max="97" width="11.33203125" style="13" bestFit="1" customWidth="1"/>
    <col min="98" max="98" width="11" style="13" bestFit="1" customWidth="1"/>
    <col min="99" max="99" width="11.33203125" style="13" bestFit="1" customWidth="1"/>
    <col min="100" max="100" width="11" style="13" bestFit="1" customWidth="1"/>
    <col min="101" max="103" width="11.33203125" style="13" bestFit="1" customWidth="1"/>
    <col min="104" max="105" width="10.6640625" style="13" bestFit="1" customWidth="1"/>
    <col min="106" max="108" width="11.33203125" style="13" bestFit="1" customWidth="1"/>
    <col min="109" max="109" width="11" style="13" bestFit="1" customWidth="1"/>
    <col min="110" max="110" width="11.33203125" style="13" bestFit="1" customWidth="1"/>
    <col min="111" max="111" width="11" style="13" bestFit="1" customWidth="1"/>
    <col min="112" max="113" width="11.33203125" style="13" bestFit="1" customWidth="1"/>
    <col min="114" max="114" width="12.109375" style="13" bestFit="1" customWidth="1"/>
    <col min="115" max="115" width="11.44140625" style="13" bestFit="1" customWidth="1"/>
    <col min="116" max="118" width="12.109375" style="13" bestFit="1" customWidth="1"/>
    <col min="119" max="119" width="11.6640625" style="13" bestFit="1" customWidth="1"/>
    <col min="120" max="120" width="12.109375" style="13" bestFit="1" customWidth="1"/>
    <col min="121" max="121" width="11.6640625" style="13" bestFit="1" customWidth="1"/>
    <col min="122" max="123" width="12.109375" style="13" bestFit="1" customWidth="1"/>
    <col min="124" max="124" width="12.6640625" style="13" bestFit="1" customWidth="1"/>
    <col min="125" max="125" width="12.109375" style="13" bestFit="1" customWidth="1"/>
    <col min="126" max="128" width="12.6640625" style="4" bestFit="1" customWidth="1"/>
    <col min="129" max="129" width="12.33203125" style="4" bestFit="1" customWidth="1"/>
    <col min="130" max="16384" width="9.109375" style="4"/>
  </cols>
  <sheetData>
    <row r="1" spans="1:24" ht="13.95" customHeight="1" thickBo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8"/>
      <c r="W1" s="8"/>
      <c r="X1" s="8"/>
    </row>
    <row r="2" spans="1:24" ht="120" customHeight="1">
      <c r="A2" s="82" t="s">
        <v>66</v>
      </c>
      <c r="B2" s="83"/>
      <c r="C2" s="83"/>
      <c r="D2" s="83"/>
      <c r="E2" s="83"/>
      <c r="F2" s="83"/>
      <c r="G2" s="83"/>
      <c r="H2" s="93" t="s">
        <v>59</v>
      </c>
      <c r="I2" s="94"/>
      <c r="J2" s="95"/>
      <c r="K2" s="102" t="s">
        <v>16</v>
      </c>
      <c r="L2" s="83"/>
      <c r="M2" s="103"/>
      <c r="N2" s="84">
        <v>46175</v>
      </c>
      <c r="O2" s="85"/>
      <c r="P2" s="90" t="s">
        <v>17</v>
      </c>
      <c r="Q2" s="69" t="s">
        <v>75</v>
      </c>
      <c r="R2" s="70"/>
      <c r="S2" s="70"/>
      <c r="T2" s="71"/>
      <c r="U2" s="20"/>
      <c r="W2" s="10" t="s">
        <v>65</v>
      </c>
    </row>
    <row r="3" spans="1:24" ht="28.2" customHeight="1">
      <c r="A3" s="78" t="s">
        <v>60</v>
      </c>
      <c r="B3" s="79"/>
      <c r="C3" s="79"/>
      <c r="D3" s="79"/>
      <c r="E3" s="79"/>
      <c r="F3" s="79"/>
      <c r="G3" s="79"/>
      <c r="H3" s="96"/>
      <c r="I3" s="97"/>
      <c r="J3" s="98"/>
      <c r="K3" s="104"/>
      <c r="L3" s="105"/>
      <c r="M3" s="106"/>
      <c r="N3" s="86"/>
      <c r="O3" s="87"/>
      <c r="P3" s="91"/>
      <c r="Q3" s="72"/>
      <c r="R3" s="73"/>
      <c r="S3" s="73"/>
      <c r="T3" s="74"/>
      <c r="U3" s="20"/>
    </row>
    <row r="4" spans="1:24" ht="28.2" customHeight="1">
      <c r="A4" s="80"/>
      <c r="B4" s="81"/>
      <c r="C4" s="81"/>
      <c r="D4" s="81"/>
      <c r="E4" s="81"/>
      <c r="F4" s="81"/>
      <c r="G4" s="81"/>
      <c r="H4" s="99"/>
      <c r="I4" s="100"/>
      <c r="J4" s="101"/>
      <c r="K4" s="107"/>
      <c r="L4" s="108"/>
      <c r="M4" s="109"/>
      <c r="N4" s="88"/>
      <c r="O4" s="89"/>
      <c r="P4" s="92"/>
      <c r="Q4" s="75"/>
      <c r="R4" s="76"/>
      <c r="S4" s="76"/>
      <c r="T4" s="77"/>
      <c r="U4" s="20"/>
    </row>
    <row r="5" spans="1:24" s="1" customFormat="1" ht="55.95" customHeight="1">
      <c r="A5" s="63" t="s">
        <v>18</v>
      </c>
      <c r="B5" s="56" t="s">
        <v>19</v>
      </c>
      <c r="C5" s="60" t="s">
        <v>15</v>
      </c>
      <c r="D5" s="61"/>
      <c r="E5" s="61"/>
      <c r="F5" s="61"/>
      <c r="G5" s="62"/>
      <c r="H5" s="47" t="s">
        <v>23</v>
      </c>
      <c r="I5" s="48"/>
      <c r="J5" s="58"/>
      <c r="K5" s="60" t="s">
        <v>24</v>
      </c>
      <c r="L5" s="61"/>
      <c r="M5" s="62"/>
      <c r="N5" s="47" t="s">
        <v>25</v>
      </c>
      <c r="O5" s="58"/>
      <c r="P5" s="47" t="s">
        <v>26</v>
      </c>
      <c r="Q5" s="48"/>
      <c r="R5" s="48"/>
      <c r="S5" s="48"/>
      <c r="T5" s="49"/>
      <c r="U5" s="22"/>
      <c r="V5" s="10"/>
      <c r="W5" s="10"/>
      <c r="X5" s="10"/>
    </row>
    <row r="6" spans="1:24" s="1" customFormat="1" ht="56.55" customHeight="1">
      <c r="A6" s="64"/>
      <c r="B6" s="66"/>
      <c r="C6" s="56" t="s">
        <v>20</v>
      </c>
      <c r="D6" s="56" t="s">
        <v>21</v>
      </c>
      <c r="E6" s="67" t="s">
        <v>57</v>
      </c>
      <c r="F6" s="68"/>
      <c r="G6" s="56" t="s">
        <v>22</v>
      </c>
      <c r="H6" s="53"/>
      <c r="I6" s="54"/>
      <c r="J6" s="59"/>
      <c r="K6" s="56" t="s">
        <v>30</v>
      </c>
      <c r="L6" s="60" t="s">
        <v>29</v>
      </c>
      <c r="M6" s="62"/>
      <c r="N6" s="56" t="s">
        <v>28</v>
      </c>
      <c r="O6" s="56" t="s">
        <v>27</v>
      </c>
      <c r="P6" s="50"/>
      <c r="Q6" s="51"/>
      <c r="R6" s="51"/>
      <c r="S6" s="51"/>
      <c r="T6" s="52"/>
      <c r="U6" s="22"/>
      <c r="V6" s="28"/>
      <c r="W6" s="28"/>
      <c r="X6" s="28"/>
    </row>
    <row r="7" spans="1:24" s="1" customFormat="1" ht="37.200000000000003" customHeight="1">
      <c r="A7" s="65"/>
      <c r="B7" s="57"/>
      <c r="C7" s="57"/>
      <c r="D7" s="57"/>
      <c r="E7" s="32" t="s">
        <v>56</v>
      </c>
      <c r="F7" s="32" t="s">
        <v>58</v>
      </c>
      <c r="G7" s="57"/>
      <c r="H7" s="33"/>
      <c r="I7" s="32" t="s">
        <v>56</v>
      </c>
      <c r="J7" s="32" t="s">
        <v>58</v>
      </c>
      <c r="K7" s="57"/>
      <c r="L7" s="32" t="s">
        <v>56</v>
      </c>
      <c r="M7" s="32" t="s">
        <v>58</v>
      </c>
      <c r="N7" s="57"/>
      <c r="O7" s="57"/>
      <c r="P7" s="53"/>
      <c r="Q7" s="54"/>
      <c r="R7" s="54"/>
      <c r="S7" s="54"/>
      <c r="T7" s="55"/>
      <c r="U7" s="22"/>
      <c r="V7" s="28"/>
      <c r="W7" s="28"/>
      <c r="X7" s="28"/>
    </row>
    <row r="8" spans="1:24" s="2" customFormat="1" ht="80.55" customHeight="1">
      <c r="A8" s="42" t="s">
        <v>49</v>
      </c>
      <c r="B8" s="139" t="s">
        <v>73</v>
      </c>
      <c r="C8" s="140"/>
      <c r="D8" s="141"/>
      <c r="E8" s="142"/>
      <c r="F8" s="143"/>
      <c r="G8" s="144"/>
      <c r="H8" s="145" t="s">
        <v>14</v>
      </c>
      <c r="I8" s="146">
        <v>2</v>
      </c>
      <c r="J8" s="147"/>
      <c r="K8" s="148" t="s">
        <v>55</v>
      </c>
      <c r="L8" s="149">
        <v>1</v>
      </c>
      <c r="M8" s="149"/>
      <c r="N8" s="150">
        <v>0.33333333333333331</v>
      </c>
      <c r="O8" s="150">
        <v>0.72916666666666663</v>
      </c>
      <c r="P8" s="151"/>
      <c r="Q8" s="152"/>
      <c r="R8" s="152"/>
      <c r="S8" s="152"/>
      <c r="T8" s="153"/>
      <c r="U8" s="24"/>
      <c r="V8" s="14"/>
      <c r="W8" s="43"/>
    </row>
    <row r="9" spans="1:24" s="2" customFormat="1" ht="80.55" customHeight="1">
      <c r="A9" s="41">
        <v>1</v>
      </c>
      <c r="B9" s="154" t="s">
        <v>77</v>
      </c>
      <c r="C9" s="155" t="s">
        <v>76</v>
      </c>
      <c r="D9" s="156">
        <v>85</v>
      </c>
      <c r="E9" s="157">
        <v>5</v>
      </c>
      <c r="F9" s="158"/>
      <c r="G9" s="144"/>
      <c r="H9" s="145" t="s">
        <v>14</v>
      </c>
      <c r="I9" s="159">
        <v>1</v>
      </c>
      <c r="J9" s="160"/>
      <c r="K9" s="161" t="s">
        <v>67</v>
      </c>
      <c r="L9" s="149">
        <v>1</v>
      </c>
      <c r="M9" s="149"/>
      <c r="N9" s="150">
        <v>0.33333333333333331</v>
      </c>
      <c r="O9" s="150">
        <v>0.72916666666666663</v>
      </c>
      <c r="P9" s="162"/>
      <c r="Q9" s="163"/>
      <c r="R9" s="163"/>
      <c r="S9" s="163"/>
      <c r="T9" s="164"/>
      <c r="U9" s="24"/>
      <c r="V9" s="14"/>
      <c r="W9" s="43"/>
    </row>
    <row r="10" spans="1:24" s="2" customFormat="1" ht="80.55" customHeight="1">
      <c r="A10" s="41">
        <v>2</v>
      </c>
      <c r="B10" s="154" t="s">
        <v>78</v>
      </c>
      <c r="C10" s="155" t="s">
        <v>76</v>
      </c>
      <c r="D10" s="156">
        <v>85</v>
      </c>
      <c r="E10" s="157">
        <v>3</v>
      </c>
      <c r="F10" s="158"/>
      <c r="G10" s="144"/>
      <c r="H10" s="145" t="s">
        <v>69</v>
      </c>
      <c r="I10" s="159">
        <v>7</v>
      </c>
      <c r="J10" s="160"/>
      <c r="K10" s="161" t="s">
        <v>64</v>
      </c>
      <c r="L10" s="149">
        <v>2</v>
      </c>
      <c r="M10" s="149"/>
      <c r="N10" s="150">
        <v>0.33333333333333331</v>
      </c>
      <c r="O10" s="150">
        <v>0.72916666666666663</v>
      </c>
      <c r="P10" s="162"/>
      <c r="Q10" s="163"/>
      <c r="R10" s="163"/>
      <c r="S10" s="163"/>
      <c r="T10" s="164"/>
      <c r="U10" s="24"/>
      <c r="V10" s="14"/>
      <c r="W10" s="43"/>
    </row>
    <row r="11" spans="1:24" s="2" customFormat="1" ht="80.55" customHeight="1">
      <c r="A11" s="41">
        <v>3</v>
      </c>
      <c r="B11" s="154" t="s">
        <v>79</v>
      </c>
      <c r="C11" s="155" t="s">
        <v>74</v>
      </c>
      <c r="D11" s="156">
        <v>1</v>
      </c>
      <c r="E11" s="165">
        <f>(E9)/D9</f>
        <v>5.8823529411764705E-2</v>
      </c>
      <c r="F11" s="158"/>
      <c r="G11" s="144"/>
      <c r="H11" s="145" t="s">
        <v>0</v>
      </c>
      <c r="I11" s="159">
        <f>2+1</f>
        <v>3</v>
      </c>
      <c r="J11" s="160"/>
      <c r="K11" s="161" t="s">
        <v>61</v>
      </c>
      <c r="L11" s="149">
        <v>1</v>
      </c>
      <c r="M11" s="149"/>
      <c r="N11" s="150">
        <v>0.33333333333333331</v>
      </c>
      <c r="O11" s="150">
        <v>0.72916666666666663</v>
      </c>
      <c r="P11" s="162"/>
      <c r="Q11" s="163"/>
      <c r="R11" s="163"/>
      <c r="S11" s="163"/>
      <c r="T11" s="164"/>
      <c r="U11" s="24"/>
      <c r="V11" s="14"/>
      <c r="W11" s="43"/>
    </row>
    <row r="12" spans="1:24" s="2" customFormat="1" ht="80.55" customHeight="1">
      <c r="A12" s="41">
        <v>4</v>
      </c>
      <c r="B12" s="166"/>
      <c r="C12" s="155"/>
      <c r="D12" s="156"/>
      <c r="E12" s="167"/>
      <c r="F12" s="158"/>
      <c r="G12" s="144"/>
      <c r="H12" s="145" t="s">
        <v>62</v>
      </c>
      <c r="I12" s="159">
        <v>1</v>
      </c>
      <c r="J12" s="160"/>
      <c r="K12" s="168" t="s">
        <v>54</v>
      </c>
      <c r="L12" s="149">
        <v>1</v>
      </c>
      <c r="M12" s="169"/>
      <c r="N12" s="150">
        <v>0.33333333333333331</v>
      </c>
      <c r="O12" s="150">
        <v>0.72916666666666663</v>
      </c>
      <c r="P12" s="162"/>
      <c r="Q12" s="163"/>
      <c r="R12" s="163"/>
      <c r="S12" s="163"/>
      <c r="T12" s="164"/>
      <c r="U12" s="24"/>
      <c r="V12" s="14"/>
    </row>
    <row r="13" spans="1:24" s="2" customFormat="1" ht="80.55" customHeight="1">
      <c r="A13" s="41">
        <v>5</v>
      </c>
      <c r="B13" s="166"/>
      <c r="C13" s="155"/>
      <c r="D13" s="156"/>
      <c r="E13" s="167"/>
      <c r="F13" s="143"/>
      <c r="G13" s="144"/>
      <c r="H13" s="145" t="s">
        <v>1</v>
      </c>
      <c r="I13" s="159">
        <v>7</v>
      </c>
      <c r="J13" s="170"/>
      <c r="K13" s="161" t="s">
        <v>53</v>
      </c>
      <c r="L13" s="149">
        <v>2</v>
      </c>
      <c r="M13" s="149"/>
      <c r="N13" s="150">
        <v>0.33333333333333331</v>
      </c>
      <c r="O13" s="150">
        <v>0.72916666666666663</v>
      </c>
      <c r="P13" s="162"/>
      <c r="Q13" s="163"/>
      <c r="R13" s="163"/>
      <c r="S13" s="163"/>
      <c r="T13" s="164"/>
      <c r="U13" s="24"/>
      <c r="V13" s="14"/>
    </row>
    <row r="14" spans="1:24" s="2" customFormat="1" ht="80.55" customHeight="1">
      <c r="A14" s="41">
        <v>6</v>
      </c>
      <c r="B14" s="154"/>
      <c r="C14" s="155"/>
      <c r="D14" s="156"/>
      <c r="E14" s="157"/>
      <c r="F14" s="143"/>
      <c r="G14" s="144"/>
      <c r="H14" s="171" t="s">
        <v>2</v>
      </c>
      <c r="I14" s="159">
        <f>1+L15+L16</f>
        <v>2</v>
      </c>
      <c r="J14" s="170"/>
      <c r="K14" s="161" t="s">
        <v>80</v>
      </c>
      <c r="L14" s="149">
        <v>2</v>
      </c>
      <c r="M14" s="149"/>
      <c r="N14" s="150">
        <v>0.95833333333333337</v>
      </c>
      <c r="O14" s="150">
        <v>0.125</v>
      </c>
      <c r="P14" s="162"/>
      <c r="Q14" s="163"/>
      <c r="R14" s="163"/>
      <c r="S14" s="163"/>
      <c r="T14" s="164"/>
      <c r="U14" s="24"/>
      <c r="V14" s="14"/>
    </row>
    <row r="15" spans="1:24" s="2" customFormat="1" ht="80.55" customHeight="1">
      <c r="A15" s="41">
        <v>7</v>
      </c>
      <c r="B15" s="166"/>
      <c r="C15" s="155"/>
      <c r="D15" s="156"/>
      <c r="E15" s="156"/>
      <c r="F15" s="143"/>
      <c r="G15" s="144"/>
      <c r="H15" s="171"/>
      <c r="I15" s="172"/>
      <c r="J15" s="170"/>
      <c r="K15" s="173" t="s">
        <v>81</v>
      </c>
      <c r="L15" s="149">
        <v>1</v>
      </c>
      <c r="M15" s="149"/>
      <c r="N15" s="150">
        <v>0.95833333333333337</v>
      </c>
      <c r="O15" s="150">
        <v>0.125</v>
      </c>
      <c r="P15" s="162"/>
      <c r="Q15" s="174"/>
      <c r="R15" s="174"/>
      <c r="S15" s="174"/>
      <c r="T15" s="175"/>
      <c r="U15" s="24"/>
      <c r="V15" s="14"/>
    </row>
    <row r="16" spans="1:24" s="2" customFormat="1" ht="81.45" customHeight="1">
      <c r="A16" s="41">
        <v>8</v>
      </c>
      <c r="B16" s="166"/>
      <c r="C16" s="155"/>
      <c r="D16" s="156"/>
      <c r="E16" s="156"/>
      <c r="F16" s="143"/>
      <c r="G16" s="144"/>
      <c r="H16" s="171"/>
      <c r="I16" s="172"/>
      <c r="J16" s="170"/>
      <c r="K16" s="173"/>
      <c r="L16" s="149"/>
      <c r="M16" s="149"/>
      <c r="N16" s="150"/>
      <c r="O16" s="150"/>
      <c r="P16" s="162"/>
      <c r="Q16" s="176"/>
      <c r="R16" s="176"/>
      <c r="S16" s="176"/>
      <c r="T16" s="177"/>
      <c r="U16" s="24"/>
      <c r="V16" s="14"/>
    </row>
    <row r="17" spans="1:24" s="2" customFormat="1" ht="81.45" customHeight="1">
      <c r="A17" s="41">
        <v>9</v>
      </c>
      <c r="B17" s="166"/>
      <c r="C17" s="155"/>
      <c r="D17" s="156"/>
      <c r="E17" s="156"/>
      <c r="F17" s="143"/>
      <c r="G17" s="178"/>
      <c r="H17" s="171"/>
      <c r="I17" s="172"/>
      <c r="J17" s="170"/>
      <c r="K17" s="179"/>
      <c r="L17" s="149"/>
      <c r="M17" s="149"/>
      <c r="N17" s="150"/>
      <c r="O17" s="150"/>
      <c r="P17" s="180"/>
      <c r="Q17" s="176"/>
      <c r="R17" s="176"/>
      <c r="S17" s="176"/>
      <c r="T17" s="177"/>
      <c r="U17" s="24"/>
      <c r="V17" s="14"/>
      <c r="W17" s="14"/>
    </row>
    <row r="18" spans="1:24" s="2" customFormat="1" ht="70.95" customHeight="1">
      <c r="A18" s="35" t="s">
        <v>3</v>
      </c>
      <c r="B18" s="18" t="s">
        <v>31</v>
      </c>
      <c r="C18" s="11"/>
      <c r="D18" s="11"/>
      <c r="E18" s="11"/>
      <c r="F18" s="11"/>
      <c r="G18" s="11"/>
      <c r="H18" s="11"/>
      <c r="I18" s="11"/>
      <c r="J18" s="11"/>
      <c r="K18" s="34"/>
      <c r="L18" s="19"/>
      <c r="M18" s="19"/>
      <c r="N18" s="12"/>
      <c r="O18" s="19"/>
      <c r="P18" s="131"/>
      <c r="Q18" s="132"/>
      <c r="R18" s="132"/>
      <c r="S18" s="132"/>
      <c r="T18" s="133"/>
      <c r="U18" s="24"/>
      <c r="V18" s="14"/>
      <c r="W18" s="14"/>
      <c r="X18" s="14"/>
    </row>
    <row r="19" spans="1:24" s="2" customFormat="1" ht="114.45" customHeight="1">
      <c r="A19" s="36">
        <v>1</v>
      </c>
      <c r="B19" s="181" t="s">
        <v>82</v>
      </c>
      <c r="C19" s="182"/>
      <c r="D19" s="182"/>
      <c r="E19" s="183"/>
      <c r="F19" s="184"/>
      <c r="G19" s="184"/>
      <c r="H19" s="183"/>
      <c r="I19" s="183"/>
      <c r="J19" s="183"/>
      <c r="K19" s="185"/>
      <c r="L19" s="185"/>
      <c r="M19" s="185"/>
      <c r="N19" s="186"/>
      <c r="O19" s="186"/>
      <c r="P19" s="180"/>
      <c r="Q19" s="176"/>
      <c r="R19" s="176"/>
      <c r="S19" s="176"/>
      <c r="T19" s="177"/>
      <c r="U19" s="23"/>
      <c r="V19" s="10"/>
      <c r="W19" s="10"/>
      <c r="X19" s="10"/>
    </row>
    <row r="20" spans="1:24" s="2" customFormat="1" ht="114.45" customHeight="1">
      <c r="A20" s="36">
        <v>2</v>
      </c>
      <c r="B20" s="181"/>
      <c r="C20" s="182"/>
      <c r="D20" s="182"/>
      <c r="E20" s="183"/>
      <c r="F20" s="184"/>
      <c r="G20" s="184"/>
      <c r="H20" s="183"/>
      <c r="I20" s="183"/>
      <c r="J20" s="183"/>
      <c r="K20" s="185"/>
      <c r="L20" s="185"/>
      <c r="M20" s="185"/>
      <c r="N20" s="186"/>
      <c r="O20" s="186"/>
      <c r="P20" s="180"/>
      <c r="Q20" s="176"/>
      <c r="R20" s="176"/>
      <c r="S20" s="176"/>
      <c r="T20" s="177"/>
      <c r="U20" s="23"/>
      <c r="V20" s="10"/>
      <c r="W20" s="10"/>
      <c r="X20" s="10"/>
    </row>
    <row r="21" spans="1:24" ht="96.45" customHeight="1">
      <c r="A21" s="110" t="s">
        <v>63</v>
      </c>
      <c r="B21" s="111"/>
      <c r="C21" s="112" t="s">
        <v>70</v>
      </c>
      <c r="D21" s="113"/>
      <c r="E21" s="113"/>
      <c r="F21" s="113"/>
      <c r="G21" s="113"/>
      <c r="H21" s="113"/>
      <c r="I21" s="113"/>
      <c r="J21" s="40"/>
      <c r="K21" s="114" t="s">
        <v>32</v>
      </c>
      <c r="L21" s="115"/>
      <c r="M21" s="115"/>
      <c r="N21" s="115"/>
      <c r="O21" s="115"/>
      <c r="P21" s="115"/>
      <c r="Q21" s="115"/>
      <c r="R21" s="115"/>
      <c r="S21" s="115"/>
      <c r="T21" s="116"/>
      <c r="U21" s="25"/>
    </row>
    <row r="22" spans="1:24" ht="49.95" customHeight="1">
      <c r="A22" s="117"/>
      <c r="B22" s="118"/>
      <c r="C22" s="119" t="s">
        <v>33</v>
      </c>
      <c r="D22" s="120"/>
      <c r="E22" s="120"/>
      <c r="F22" s="120"/>
      <c r="G22" s="120"/>
      <c r="H22" s="120"/>
      <c r="I22" s="120"/>
      <c r="J22" s="31"/>
      <c r="K22" s="187"/>
      <c r="L22" s="188"/>
      <c r="M22" s="188"/>
      <c r="N22" s="188"/>
      <c r="O22" s="188"/>
      <c r="P22" s="188"/>
      <c r="Q22" s="188"/>
      <c r="R22" s="188"/>
      <c r="S22" s="188"/>
      <c r="T22" s="189"/>
      <c r="U22" s="25"/>
    </row>
    <row r="23" spans="1:24" ht="49.95" customHeight="1">
      <c r="A23" s="121"/>
      <c r="B23" s="122"/>
      <c r="C23" s="137" t="s">
        <v>34</v>
      </c>
      <c r="D23" s="138"/>
      <c r="E23" s="138"/>
      <c r="F23" s="138"/>
      <c r="G23" s="138"/>
      <c r="H23" s="138"/>
      <c r="I23" s="138"/>
      <c r="J23" s="30"/>
      <c r="K23" s="190"/>
      <c r="L23" s="191"/>
      <c r="M23" s="191"/>
      <c r="N23" s="191"/>
      <c r="O23" s="191"/>
      <c r="P23" s="191"/>
      <c r="Q23" s="191"/>
      <c r="R23" s="191"/>
      <c r="S23" s="191"/>
      <c r="T23" s="192"/>
      <c r="U23" s="25"/>
    </row>
    <row r="24" spans="1:24" ht="49.95" customHeight="1">
      <c r="A24" s="37"/>
      <c r="B24" s="7"/>
      <c r="C24" s="123" t="s">
        <v>35</v>
      </c>
      <c r="D24" s="124"/>
      <c r="E24" s="124"/>
      <c r="F24" s="124"/>
      <c r="G24" s="124"/>
      <c r="H24" s="124"/>
      <c r="I24" s="124"/>
      <c r="J24" s="30"/>
      <c r="K24" s="190"/>
      <c r="L24" s="191"/>
      <c r="M24" s="191"/>
      <c r="N24" s="191"/>
      <c r="O24" s="191"/>
      <c r="P24" s="191"/>
      <c r="Q24" s="191"/>
      <c r="R24" s="191"/>
      <c r="S24" s="191"/>
      <c r="T24" s="192"/>
      <c r="U24" s="25"/>
    </row>
    <row r="25" spans="1:24" ht="49.95" customHeight="1">
      <c r="A25" s="37"/>
      <c r="B25" s="7"/>
      <c r="C25" s="44" t="s">
        <v>68</v>
      </c>
      <c r="D25" s="45"/>
      <c r="E25" s="45"/>
      <c r="F25" s="45"/>
      <c r="G25" s="45"/>
      <c r="H25" s="45"/>
      <c r="I25" s="45"/>
      <c r="J25" s="46"/>
      <c r="K25" s="193"/>
      <c r="L25" s="194"/>
      <c r="M25" s="194"/>
      <c r="N25" s="194"/>
      <c r="O25" s="194"/>
      <c r="P25" s="194"/>
      <c r="Q25" s="194"/>
      <c r="R25" s="194"/>
      <c r="S25" s="194"/>
      <c r="T25" s="195"/>
      <c r="U25" s="25"/>
      <c r="V25" s="15"/>
      <c r="W25" s="16"/>
    </row>
    <row r="26" spans="1:24" ht="49.95" customHeight="1">
      <c r="A26" s="121"/>
      <c r="B26" s="122"/>
      <c r="C26" s="123" t="s">
        <v>36</v>
      </c>
      <c r="D26" s="124"/>
      <c r="E26" s="124"/>
      <c r="F26" s="124"/>
      <c r="G26" s="124"/>
      <c r="H26" s="124"/>
      <c r="I26" s="124"/>
      <c r="J26" s="29"/>
      <c r="K26" s="125" t="s">
        <v>4</v>
      </c>
      <c r="L26" s="125"/>
      <c r="M26" s="125"/>
      <c r="N26" s="125"/>
      <c r="O26" s="125"/>
      <c r="P26" s="125"/>
      <c r="Q26" s="125"/>
      <c r="R26" s="125"/>
      <c r="S26" s="125"/>
      <c r="T26" s="126"/>
      <c r="U26" s="25"/>
      <c r="V26" s="15"/>
      <c r="W26" s="16"/>
    </row>
    <row r="27" spans="1:24" ht="75" customHeight="1">
      <c r="A27" s="121"/>
      <c r="B27" s="122"/>
      <c r="C27" s="123" t="s">
        <v>37</v>
      </c>
      <c r="D27" s="124"/>
      <c r="E27" s="124"/>
      <c r="F27" s="124"/>
      <c r="G27" s="124"/>
      <c r="H27" s="124"/>
      <c r="I27" s="124"/>
      <c r="J27" s="29"/>
      <c r="K27" s="134" t="s">
        <v>5</v>
      </c>
      <c r="L27" s="135"/>
      <c r="M27" s="135"/>
      <c r="N27" s="136"/>
      <c r="O27" s="134" t="s">
        <v>6</v>
      </c>
      <c r="P27" s="135"/>
      <c r="Q27" s="136"/>
      <c r="R27" s="5" t="s">
        <v>7</v>
      </c>
      <c r="S27" s="5" t="s">
        <v>8</v>
      </c>
      <c r="T27" s="38" t="s">
        <v>9</v>
      </c>
      <c r="U27" s="26"/>
    </row>
    <row r="28" spans="1:24" ht="65.25" customHeight="1">
      <c r="A28" s="121"/>
      <c r="B28" s="122"/>
      <c r="C28" s="123" t="s">
        <v>39</v>
      </c>
      <c r="D28" s="124"/>
      <c r="E28" s="124"/>
      <c r="F28" s="124"/>
      <c r="G28" s="124"/>
      <c r="H28" s="124"/>
      <c r="I28" s="124"/>
      <c r="J28" s="29"/>
      <c r="K28" s="196" t="s">
        <v>10</v>
      </c>
      <c r="L28" s="197" t="s">
        <v>11</v>
      </c>
      <c r="M28" s="198"/>
      <c r="N28" s="199" t="s">
        <v>12</v>
      </c>
      <c r="O28" s="196" t="s">
        <v>10</v>
      </c>
      <c r="P28" s="200" t="s">
        <v>11</v>
      </c>
      <c r="Q28" s="196" t="s">
        <v>12</v>
      </c>
      <c r="R28" s="201"/>
      <c r="S28" s="202"/>
      <c r="T28" s="203" t="s">
        <v>13</v>
      </c>
      <c r="U28" s="26"/>
    </row>
    <row r="29" spans="1:24" s="3" customFormat="1" ht="55.95" customHeight="1" thickBot="1">
      <c r="A29" s="127"/>
      <c r="B29" s="128"/>
      <c r="C29" s="129" t="s">
        <v>38</v>
      </c>
      <c r="D29" s="130"/>
      <c r="E29" s="130"/>
      <c r="F29" s="130"/>
      <c r="G29" s="130"/>
      <c r="H29" s="130"/>
      <c r="I29" s="130"/>
      <c r="J29" s="39"/>
      <c r="K29" s="204" t="s">
        <v>72</v>
      </c>
      <c r="L29" s="205" t="s">
        <v>72</v>
      </c>
      <c r="M29" s="206"/>
      <c r="N29" s="204" t="s">
        <v>71</v>
      </c>
      <c r="O29" s="207">
        <v>28</v>
      </c>
      <c r="P29" s="207">
        <v>35</v>
      </c>
      <c r="Q29" s="208">
        <f>+O29</f>
        <v>28</v>
      </c>
      <c r="R29" s="209"/>
      <c r="S29" s="210"/>
      <c r="T29" s="211"/>
      <c r="U29" s="27"/>
      <c r="V29" s="13"/>
      <c r="W29" s="13"/>
      <c r="X29" s="17"/>
    </row>
    <row r="30" spans="1:24" ht="18.4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3" spans="2:20" ht="22.8">
      <c r="R33" s="2"/>
      <c r="S33" s="2"/>
      <c r="T33" s="2"/>
    </row>
    <row r="34" spans="2:20" ht="22.8">
      <c r="R34" s="2"/>
      <c r="S34" s="2"/>
      <c r="T34" s="2"/>
    </row>
    <row r="35" spans="2:20" ht="22.8">
      <c r="Q35" s="6"/>
      <c r="R35" s="2"/>
      <c r="S35" s="2"/>
      <c r="T35" s="2"/>
    </row>
    <row r="36" spans="2:20" ht="22.8">
      <c r="R36" s="2"/>
      <c r="S36" s="2"/>
      <c r="T36" s="2"/>
    </row>
    <row r="37" spans="2:20" ht="22.8">
      <c r="R37" s="2"/>
      <c r="S37" s="2"/>
      <c r="T37" s="2"/>
    </row>
    <row r="38" spans="2:20" ht="22.8">
      <c r="R38" s="2"/>
      <c r="S38" s="2"/>
      <c r="T38" s="2"/>
    </row>
    <row r="39" spans="2:20" ht="22.8">
      <c r="R39" s="2"/>
      <c r="S39" s="2"/>
      <c r="T39" s="2"/>
    </row>
    <row r="44" spans="2:20" ht="25.8">
      <c r="B44" s="9" t="s">
        <v>40</v>
      </c>
    </row>
    <row r="45" spans="2:20" ht="25.8">
      <c r="B45" s="9" t="s">
        <v>41</v>
      </c>
    </row>
    <row r="46" spans="2:20" ht="25.8">
      <c r="B46" s="9" t="s">
        <v>42</v>
      </c>
    </row>
    <row r="47" spans="2:20" ht="25.8">
      <c r="B47" s="9" t="s">
        <v>43</v>
      </c>
    </row>
    <row r="48" spans="2:20" ht="25.8">
      <c r="B48" s="9" t="s">
        <v>44</v>
      </c>
    </row>
    <row r="49" spans="2:2" ht="25.8">
      <c r="B49" s="9" t="s">
        <v>45</v>
      </c>
    </row>
    <row r="50" spans="2:2" ht="25.8">
      <c r="B50" s="9" t="s">
        <v>46</v>
      </c>
    </row>
    <row r="51" spans="2:2" ht="25.8">
      <c r="B51" s="9" t="s">
        <v>47</v>
      </c>
    </row>
    <row r="52" spans="2:2" ht="25.8">
      <c r="B52" s="9" t="s">
        <v>48</v>
      </c>
    </row>
    <row r="53" spans="2:2" ht="25.8">
      <c r="B53" s="9" t="s">
        <v>52</v>
      </c>
    </row>
    <row r="54" spans="2:2" ht="25.8">
      <c r="B54" s="9" t="s">
        <v>50</v>
      </c>
    </row>
    <row r="55" spans="2:2" ht="25.8">
      <c r="B55" s="9" t="s">
        <v>51</v>
      </c>
    </row>
  </sheetData>
  <mergeCells count="51">
    <mergeCell ref="A29:B29"/>
    <mergeCell ref="C29:I29"/>
    <mergeCell ref="A27:B27"/>
    <mergeCell ref="R28:R29"/>
    <mergeCell ref="P18:T18"/>
    <mergeCell ref="L29:M29"/>
    <mergeCell ref="T28:T29"/>
    <mergeCell ref="C27:I27"/>
    <mergeCell ref="K27:N27"/>
    <mergeCell ref="O27:Q27"/>
    <mergeCell ref="A28:B28"/>
    <mergeCell ref="C28:I28"/>
    <mergeCell ref="L28:M28"/>
    <mergeCell ref="S28:S29"/>
    <mergeCell ref="A23:B23"/>
    <mergeCell ref="C23:I23"/>
    <mergeCell ref="L23:T23"/>
    <mergeCell ref="A26:B26"/>
    <mergeCell ref="C26:I26"/>
    <mergeCell ref="K26:T26"/>
    <mergeCell ref="C24:I24"/>
    <mergeCell ref="L25:T25"/>
    <mergeCell ref="L24:T24"/>
    <mergeCell ref="A21:B21"/>
    <mergeCell ref="C21:I21"/>
    <mergeCell ref="K21:T21"/>
    <mergeCell ref="A22:B22"/>
    <mergeCell ref="C22:I22"/>
    <mergeCell ref="L22:T22"/>
    <mergeCell ref="Q2:T4"/>
    <mergeCell ref="A3:G4"/>
    <mergeCell ref="A2:G2"/>
    <mergeCell ref="N2:O4"/>
    <mergeCell ref="P2:P4"/>
    <mergeCell ref="H2:J4"/>
    <mergeCell ref="K2:M4"/>
    <mergeCell ref="A5:A7"/>
    <mergeCell ref="B5:B7"/>
    <mergeCell ref="C6:C7"/>
    <mergeCell ref="D6:D7"/>
    <mergeCell ref="E6:F6"/>
    <mergeCell ref="P5:T7"/>
    <mergeCell ref="G6:G7"/>
    <mergeCell ref="H5:J6"/>
    <mergeCell ref="C5:G5"/>
    <mergeCell ref="N5:O5"/>
    <mergeCell ref="K5:M5"/>
    <mergeCell ref="L6:M6"/>
    <mergeCell ref="N6:N7"/>
    <mergeCell ref="O6:O7"/>
    <mergeCell ref="K6:K7"/>
  </mergeCells>
  <phoneticPr fontId="28"/>
  <conditionalFormatting sqref="V6:V7 AC6:DY7">
    <cfRule type="expression" dxfId="3" priority="299">
      <formula>$K$6=#REF!</formula>
    </cfRule>
  </conditionalFormatting>
  <conditionalFormatting sqref="V8:W8 AC8:DY17 W9:W11 V9:V16 V17:W17 V18:DY87">
    <cfRule type="expression" dxfId="2" priority="35">
      <formula>V$6=$N$2</formula>
    </cfRule>
  </conditionalFormatting>
  <conditionalFormatting sqref="Z4:Z7 V6:Y7 AA6:DY7">
    <cfRule type="expression" dxfId="1" priority="296">
      <formula>V$6=$N$2</formula>
    </cfRule>
  </conditionalFormatting>
  <printOptions horizontalCentered="1"/>
  <pageMargins left="0.19685039370078741" right="0.19685039370078741" top="0.47" bottom="0.15748031496062992" header="0.15748031496062992" footer="0.31496062992125984"/>
  <pageSetup paperSize="8" scale="28" orientation="portrait" r:id="rId1"/>
  <headerFooter alignWithMargins="0"/>
  <colBreaks count="1" manualBreakCount="1">
    <brk id="20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7" id="{00000000-000E-0000-0100-0000DA000000}">
            <xm:f>$K$6='\Users\maitrongduy\C:\00. Thẩm\01. Package 2\03. Report\20230221\[230220_YX2_Daily report _ YASUDA.xlsx]Daily report for PJ'!#REF!</xm:f>
            <x14:dxf>
              <fill>
                <patternFill>
                  <bgColor rgb="FF00B0F0"/>
                </patternFill>
              </fill>
            </x14:dxf>
          </x14:cfRule>
          <xm:sqref>Z4:Z7 W6:Y7 AA6:AB7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1B3177A01F24797DD54C903A27DD1" ma:contentTypeVersion="12" ma:contentTypeDescription="Create a new document." ma:contentTypeScope="" ma:versionID="155a37f794cac32c75a4918b972b1567">
  <xsd:schema xmlns:xsd="http://www.w3.org/2001/XMLSchema" xmlns:xs="http://www.w3.org/2001/XMLSchema" xmlns:p="http://schemas.microsoft.com/office/2006/metadata/properties" xmlns:ns2="7ae56741-d4c8-46fd-9242-e93370b14984" xmlns:ns3="f46580ff-3b93-460b-b5e7-f5d61a00655a" targetNamespace="http://schemas.microsoft.com/office/2006/metadata/properties" ma:root="true" ma:fieldsID="024945d019452f54a7a3dc0ae92f6190" ns2:_="" ns3:_="">
    <xsd:import namespace="7ae56741-d4c8-46fd-9242-e93370b14984"/>
    <xsd:import namespace="f46580ff-3b93-460b-b5e7-f5d61a006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56741-d4c8-46fd-9242-e93370b14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580ff-3b93-460b-b5e7-f5d61a006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556469-1EC3-4CEB-8F2F-F3114F3D03C1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1EC174-11C2-4B8A-9382-8FA1C19D366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ae56741-d4c8-46fd-9242-e93370b14984"/>
    <ds:schemaRef ds:uri="f46580ff-3b93-460b-b5e7-f5d61a00655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F0E651-A914-4BA2-9482-A3241E9C30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Plan for PJ</vt:lpstr>
      <vt:lpstr>'Daily Plan for PJ'!Print_Area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Hieu</dc:creator>
  <cp:lastModifiedBy>Mai Trong Duy</cp:lastModifiedBy>
  <cp:lastPrinted>2026-07-31T13:26:56Z</cp:lastPrinted>
  <dcterms:created xsi:type="dcterms:W3CDTF">2006-09-16T00:00:00Z</dcterms:created>
  <dcterms:modified xsi:type="dcterms:W3CDTF">2026-07-31T16:29:00Z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1033-11.2.0.9281</vt:lpwstr>
  </property>
</Properties>
</file>